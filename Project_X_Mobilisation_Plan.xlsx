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willb\Downloads\"/>
    </mc:Choice>
  </mc:AlternateContent>
  <xr:revisionPtr revIDLastSave="0" documentId="13_ncr:1_{B5B91E6D-A22C-4636-814C-E5FB96C6E96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ject X Action Plan" sheetId="7" r:id="rId1"/>
    <sheet name="Dropdown Key - Do Not Delete" sheetId="4" state="hidden" r:id="rId2"/>
  </sheets>
  <externalReferences>
    <externalReference r:id="rId3"/>
    <externalReference r:id="rId4"/>
  </externalReferences>
  <definedNames>
    <definedName name="Interval">'[1]Return to Work Template'!#REF!</definedName>
    <definedName name="_xlnm.Print_Area" localSheetId="0">'Project X Action Plan'!$B$1:$L$23</definedName>
    <definedName name="ScheduleStart">'[1]Return to Work Template'!#REF!</definedName>
    <definedName name="Type">'[2]Maintenance Work Order'!#REF!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7" l="1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19" i="7"/>
  <c r="G20" i="7"/>
  <c r="G18" i="7"/>
  <c r="G17" i="7"/>
  <c r="G89" i="7"/>
  <c r="G88" i="7"/>
  <c r="G87" i="7"/>
  <c r="G86" i="7"/>
  <c r="G85" i="7"/>
  <c r="G84" i="7"/>
  <c r="G28" i="7"/>
  <c r="G27" i="7"/>
  <c r="G26" i="7"/>
  <c r="G13" i="7"/>
  <c r="G14" i="7"/>
  <c r="G15" i="7"/>
  <c r="G16" i="7"/>
  <c r="G22" i="7"/>
  <c r="G12" i="7"/>
</calcChain>
</file>

<file path=xl/sharedStrings.xml><?xml version="1.0" encoding="utf-8"?>
<sst xmlns="http://schemas.openxmlformats.org/spreadsheetml/2006/main" count="276" uniqueCount="110">
  <si>
    <t>Project Manager</t>
  </si>
  <si>
    <t>Phase 1: Discovery &amp; Planning</t>
  </si>
  <si>
    <t>Priority</t>
  </si>
  <si>
    <t>Action Item</t>
  </si>
  <si>
    <t>Status</t>
  </si>
  <si>
    <t>Start Date</t>
  </si>
  <si>
    <t>Due Date</t>
  </si>
  <si>
    <t>Duration
(in days)</t>
  </si>
  <si>
    <t>Owner</t>
  </si>
  <si>
    <t>Resources</t>
  </si>
  <si>
    <t>Estimated Cost</t>
  </si>
  <si>
    <t>Notes</t>
  </si>
  <si>
    <t>High</t>
  </si>
  <si>
    <t>Complete</t>
  </si>
  <si>
    <t>Medium</t>
  </si>
  <si>
    <t>In Progress</t>
  </si>
  <si>
    <t>Not Started</t>
  </si>
  <si>
    <t>Low</t>
  </si>
  <si>
    <t>DROPDOWN KEY - DO NOT DELETE</t>
  </si>
  <si>
    <t>PRIORITY KEY</t>
  </si>
  <si>
    <t>STATUS KEY</t>
  </si>
  <si>
    <t>On Hold</t>
  </si>
  <si>
    <t xml:space="preserve">Mindset Childrens Homes </t>
  </si>
  <si>
    <t xml:space="preserve">Mobalisation </t>
  </si>
  <si>
    <t>Date</t>
  </si>
  <si>
    <t>To launch and mobilize Mindset Childrens Home as a compassionate, self-sustaining model that delivers exceptional care, education, and opportunity to vulnerable children through dedicated resources, partnerships, and community support.</t>
  </si>
  <si>
    <t xml:space="preserve">Project X Action Plan </t>
  </si>
  <si>
    <t xml:space="preserve">Phase 2: Mobalisation </t>
  </si>
  <si>
    <t xml:space="preserve">Phase 3: Recruitment, Training &amp; Development  </t>
  </si>
  <si>
    <t>Goal</t>
  </si>
  <si>
    <t>Identify Location For Childrens Home</t>
  </si>
  <si>
    <t>Noel</t>
  </si>
  <si>
    <t>Identify Agent that supply properties with C2 planning permission</t>
  </si>
  <si>
    <t>Arnold</t>
  </si>
  <si>
    <t xml:space="preserve">TOB to be agreed with Agent </t>
  </si>
  <si>
    <t xml:space="preserve">Agent Identified: Lovemore. X2 Properties Identified </t>
  </si>
  <si>
    <t xml:space="preserve">Noel identified that Nottingham would not be the ideal location for a childrens home as the demand seems to be for supported accomidation. Loughbourough deemed the most appropriate area. </t>
  </si>
  <si>
    <t>TOB Agreed. Requirnent of DNA, Mindset only commit once a company is sourced. Payment of finders fee to be made to remove the property from the market, the deposit to the landlady will also have to be made. 5-7 year contract</t>
  </si>
  <si>
    <t xml:space="preserve">Property viewing </t>
  </si>
  <si>
    <t>Steven/Arnold</t>
  </si>
  <si>
    <t xml:space="preserve">X2 properties viewed. 14 Pulteney &amp; 389 New Ashby Road.  </t>
  </si>
  <si>
    <t>Directors to agree to proceed following viewings</t>
  </si>
  <si>
    <t>All</t>
  </si>
  <si>
    <t xml:space="preserve">Steven &amp; Arnold attned the property on 05/02/2026. Meeting held with all directors who agreed to proceed based on the findings. </t>
  </si>
  <si>
    <t>Initial requirments of additional works to be sent to the agent.</t>
  </si>
  <si>
    <t>Steven</t>
  </si>
  <si>
    <t>Email sent with requirments 05/02/2026</t>
  </si>
  <si>
    <t>Estimated Costings to be produced showing 3 different models</t>
  </si>
  <si>
    <t>Meet to negotiate rental costs</t>
  </si>
  <si>
    <t xml:space="preserve">Shared with all directors </t>
  </si>
  <si>
    <t xml:space="preserve">Rent negotiated down from £3500 to £2900, saving £7200 PA. </t>
  </si>
  <si>
    <t xml:space="preserve">Source planning documents </t>
  </si>
  <si>
    <t xml:space="preserve">Sent to all directors </t>
  </si>
  <si>
    <t xml:space="preserve">Register a children’s social care service (SC1) </t>
  </si>
  <si>
    <t>RI SC2</t>
  </si>
  <si>
    <t>Manager SC2</t>
  </si>
  <si>
    <t>Manager Health Decliration</t>
  </si>
  <si>
    <t>Statement of Purpose</t>
  </si>
  <si>
    <t xml:space="preserve">Local Area Risk Assessment </t>
  </si>
  <si>
    <t>Business Plan</t>
  </si>
  <si>
    <t>Planning Permission</t>
  </si>
  <si>
    <t xml:space="preserve">Childrens Guide </t>
  </si>
  <si>
    <t>Continuity/Contingency Plan</t>
  </si>
  <si>
    <t>Policies (See Policy Index)</t>
  </si>
  <si>
    <t>Workforce Development Plan</t>
  </si>
  <si>
    <t xml:space="preserve">Training Matrix </t>
  </si>
  <si>
    <t xml:space="preserve">Business Insurance </t>
  </si>
  <si>
    <t xml:space="preserve">Appoint Regg 44 Inspector </t>
  </si>
  <si>
    <t>Fire Risk  Assessment (Independent)</t>
  </si>
  <si>
    <t xml:space="preserve">Asbestos Check </t>
  </si>
  <si>
    <t xml:space="preserve">Legionnaires Check </t>
  </si>
  <si>
    <t>Ensure Planning Conditions are met (if any)</t>
  </si>
  <si>
    <t xml:space="preserve">Job Posts </t>
  </si>
  <si>
    <t>Emergency Fire Evacuation Procedure &amp; Plan</t>
  </si>
  <si>
    <t xml:space="preserve">Fire Door Certificates </t>
  </si>
  <si>
    <t xml:space="preserve">Fire/Smoke/Carbon Monoxide Alarm Certificate </t>
  </si>
  <si>
    <t>Action Plan following FRA</t>
  </si>
  <si>
    <t xml:space="preserve">Notification to the police </t>
  </si>
  <si>
    <t xml:space="preserve">Notification letter to the fire brigade </t>
  </si>
  <si>
    <t xml:space="preserve">Food Premises Certificate </t>
  </si>
  <si>
    <t xml:space="preserve">Gas Safety Certificate </t>
  </si>
  <si>
    <t xml:space="preserve">Eletrical Certificate </t>
  </si>
  <si>
    <t xml:space="preserve">PAT Test Certificate </t>
  </si>
  <si>
    <t xml:space="preserve">C2 Certificate </t>
  </si>
  <si>
    <t xml:space="preserve">House Risk Assessment </t>
  </si>
  <si>
    <t xml:space="preserve">Rota Management </t>
  </si>
  <si>
    <t xml:space="preserve">Staff Induction Documents </t>
  </si>
  <si>
    <t xml:space="preserve">Employee Handbook </t>
  </si>
  <si>
    <t xml:space="preserve">External CCTV </t>
  </si>
  <si>
    <t xml:space="preserve">Window Restrictors </t>
  </si>
  <si>
    <t>Thumb Locks on doors</t>
  </si>
  <si>
    <t xml:space="preserve">Internet </t>
  </si>
  <si>
    <t>Staff Phones</t>
  </si>
  <si>
    <t xml:space="preserve">Staff laptop x2 </t>
  </si>
  <si>
    <t>Staff Tablet for the community x1</t>
  </si>
  <si>
    <t>Car Purchase</t>
  </si>
  <si>
    <t xml:space="preserve">Car insurance &amp; MOT </t>
  </si>
  <si>
    <t>Sign up to Lief</t>
  </si>
  <si>
    <t xml:space="preserve">Mock Fit Persons Interview </t>
  </si>
  <si>
    <t xml:space="preserve">Set up Companies House with each director having 25% shares </t>
  </si>
  <si>
    <t>Clem</t>
  </si>
  <si>
    <t xml:space="preserve">6 month rent to be paid as part of the rental agreement </t>
  </si>
  <si>
    <t xml:space="preserve">Arnold completed and send info to all directors. </t>
  </si>
  <si>
    <t xml:space="preserve">Generic Risk Assessment </t>
  </si>
  <si>
    <t xml:space="preserve">Pet Risk Assessment </t>
  </si>
  <si>
    <t xml:space="preserve">Health &amp; Enviroment Risk Assessment </t>
  </si>
  <si>
    <t xml:space="preserve">Aquire TV License </t>
  </si>
  <si>
    <t>Agree Chilf Budget</t>
  </si>
  <si>
    <t xml:space="preserve">Implement Chck Chore &amp; Audit Section on Lief </t>
  </si>
  <si>
    <t>Noel Beaumont (Director)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</si>
</sst>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m/d;@"/>
    <numFmt numFmtId="165" formatCode="mm/dd/yy;@"/>
  </numFmts>
  <fonts count="27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22"/>
      <color theme="1"/>
      <name val="Century Gothic"/>
      <family val="2"/>
    </font>
    <font>
      <b/>
      <sz val="22"/>
      <color theme="0" tint="-0.499984740745262"/>
      <name val="Century Gothic"/>
      <family val="2"/>
    </font>
    <font>
      <sz val="10"/>
      <color theme="1"/>
      <name val="Century Gothic"/>
      <family val="2"/>
    </font>
    <font>
      <sz val="10"/>
      <color theme="8" tint="-0.249977111117893"/>
      <name val="Century Gothic"/>
      <family val="2"/>
    </font>
    <font>
      <sz val="12"/>
      <color theme="8" tint="-0.249977111117893"/>
      <name val="Century Gothic"/>
      <family val="2"/>
    </font>
    <font>
      <sz val="22"/>
      <color theme="8" tint="-0.249977111117893"/>
      <name val="Century Gothic"/>
      <family val="2"/>
    </font>
    <font>
      <sz val="12"/>
      <color theme="0"/>
      <name val="Century Gothic"/>
      <family val="2"/>
    </font>
    <font>
      <sz val="10"/>
      <color theme="0"/>
      <name val="Century Gothic"/>
      <family val="2"/>
    </font>
    <font>
      <sz val="18"/>
      <color theme="9"/>
      <name val="Century Gothic"/>
      <family val="2"/>
    </font>
    <font>
      <b/>
      <sz val="24"/>
      <color theme="1" tint="0.34998626667073579"/>
      <name val="Century Gothic"/>
      <family val="2"/>
    </font>
    <font>
      <sz val="12"/>
      <color theme="1" tint="0.249977111117893"/>
      <name val="Century Gothic"/>
      <family val="1"/>
    </font>
    <font>
      <sz val="10"/>
      <color theme="1" tint="0.249977111117893"/>
      <name val="Century Gothic"/>
      <family val="2"/>
    </font>
    <font>
      <sz val="10"/>
      <color theme="1"/>
      <name val="Century Gothic"/>
      <family val="1"/>
    </font>
    <font>
      <b/>
      <sz val="11"/>
      <color theme="1"/>
      <name val="Century Gothic"/>
      <family val="1"/>
    </font>
    <font>
      <sz val="10"/>
      <color theme="1" tint="0.249977111117893"/>
      <name val="Century Gothic"/>
      <family val="1"/>
    </font>
    <font>
      <b/>
      <sz val="10"/>
      <color theme="9" tint="-0.499984740745262"/>
      <name val="Century Gothic"/>
      <family val="2"/>
    </font>
    <font>
      <b/>
      <sz val="12"/>
      <color theme="1" tint="0.249977111117893"/>
      <name val="Century Gothic"/>
      <family val="2"/>
    </font>
    <font>
      <b/>
      <sz val="18"/>
      <color theme="9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alibri"/>
      <family val="2"/>
      <scheme val="minor"/>
    </font>
    <font>
      <b/>
      <sz val="12"/>
      <color theme="1" tint="0.249977111117893"/>
      <name val="Century Gothic"/>
      <family val="1"/>
    </font>
    <font>
      <b/>
      <sz val="12"/>
      <name val="Century Gothic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</cellStyleXfs>
  <cellXfs count="48">
    <xf numFmtId="0" fontId="0" fillId="0" borderId="0" xfId="0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10" fillId="0" borderId="0" xfId="0" applyFont="1"/>
    <xf numFmtId="0" fontId="11" fillId="3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14" fillId="2" borderId="0" xfId="0" applyFont="1" applyFill="1" applyAlignment="1">
      <alignment vertical="center"/>
    </xf>
    <xf numFmtId="0" fontId="12" fillId="7" borderId="3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 indent="1"/>
    </xf>
    <xf numFmtId="0" fontId="16" fillId="11" borderId="3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left" vertical="center" indent="1"/>
    </xf>
    <xf numFmtId="164" fontId="19" fillId="0" borderId="1" xfId="0" applyNumberFormat="1" applyFont="1" applyBorder="1" applyAlignment="1">
      <alignment horizontal="center" vertical="center"/>
    </xf>
    <xf numFmtId="164" fontId="19" fillId="5" borderId="1" xfId="0" applyNumberFormat="1" applyFont="1" applyFill="1" applyBorder="1" applyAlignment="1">
      <alignment horizontal="center" vertical="center"/>
    </xf>
    <xf numFmtId="0" fontId="0" fillId="13" borderId="5" xfId="0" applyFill="1" applyBorder="1"/>
    <xf numFmtId="0" fontId="0" fillId="13" borderId="6" xfId="0" applyFill="1" applyBorder="1"/>
    <xf numFmtId="0" fontId="11" fillId="10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1"/>
    </xf>
    <xf numFmtId="164" fontId="19" fillId="0" borderId="1" xfId="0" applyNumberFormat="1" applyFont="1" applyBorder="1" applyAlignment="1">
      <alignment horizontal="center" vertical="center" wrapText="1"/>
    </xf>
    <xf numFmtId="164" fontId="19" fillId="5" borderId="1" xfId="0" applyNumberFormat="1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indent="1"/>
    </xf>
    <xf numFmtId="0" fontId="19" fillId="2" borderId="1" xfId="0" applyFont="1" applyFill="1" applyBorder="1" applyAlignment="1">
      <alignment horizontal="left" vertical="center" wrapText="1" indent="1"/>
    </xf>
    <xf numFmtId="44" fontId="19" fillId="4" borderId="1" xfId="0" applyNumberFormat="1" applyFont="1" applyFill="1" applyBorder="1" applyAlignment="1">
      <alignment horizontal="left" vertical="center"/>
    </xf>
    <xf numFmtId="0" fontId="22" fillId="0" borderId="0" xfId="0" applyFont="1" applyAlignment="1">
      <alignment wrapText="1"/>
    </xf>
    <xf numFmtId="0" fontId="23" fillId="0" borderId="0" xfId="0" applyFont="1" applyAlignment="1">
      <alignment vertical="center" wrapText="1"/>
    </xf>
    <xf numFmtId="0" fontId="24" fillId="0" borderId="0" xfId="0" applyFont="1"/>
    <xf numFmtId="0" fontId="25" fillId="13" borderId="4" xfId="0" applyFont="1" applyFill="1" applyBorder="1" applyAlignment="1">
      <alignment horizontal="left" vertical="center" indent="1"/>
    </xf>
    <xf numFmtId="0" fontId="24" fillId="13" borderId="5" xfId="0" applyFont="1" applyFill="1" applyBorder="1"/>
    <xf numFmtId="0" fontId="26" fillId="0" borderId="0" xfId="0" applyFont="1" applyAlignment="1">
      <alignment vertical="center"/>
    </xf>
    <xf numFmtId="0" fontId="4" fillId="14" borderId="2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 wrapText="1"/>
    </xf>
    <xf numFmtId="0" fontId="20" fillId="4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5" fontId="21" fillId="0" borderId="2" xfId="0" applyNumberFormat="1" applyFont="1" applyBorder="1" applyAlignment="1">
      <alignment horizontal="center" vertical="center"/>
    </xf>
    <xf numFmtId="0" fontId="18" fillId="12" borderId="0" xfId="0" applyFont="1" applyFill="1" applyAlignment="1">
      <alignment horizontal="left" vertical="center" indent="1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09BDC075-A22A-5943-A332-252656727F75}"/>
  </cellStyles>
  <dxfs count="28"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00BD32"/>
        </patternFill>
      </fill>
    </dxf>
    <dxf>
      <font>
        <color theme="0"/>
      </font>
      <fill>
        <patternFill>
          <bgColor rgb="FFFF7B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7B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7B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7B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9" defaultPivotStyle="PivotStyleMedium4"/>
  <colors>
    <mruColors>
      <color rgb="FF00BD32"/>
      <color rgb="FFFF7B00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eturn-to-Work-Template35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turn to Work Template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6DA7-6B17-4CAD-AF0B-39AA7C073C98}">
  <sheetPr>
    <tabColor theme="3" tint="0.59999389629810485"/>
    <pageSetUpPr fitToPage="1"/>
  </sheetPr>
  <dimension ref="B1:S89"/>
  <sheetViews>
    <sheetView showGridLines="0" tabSelected="1" zoomScale="60" zoomScaleNormal="60" workbookViewId="0">
      <pane ySplit="1" topLeftCell="A2" activePane="bottomLeft" state="frozen"/>
      <selection pane="bottomLeft" activeCell="A90" sqref="A90"/>
    </sheetView>
  </sheetViews>
  <sheetFormatPr defaultColWidth="11" defaultRowHeight="15.6"/>
  <cols>
    <col min="1" max="1" width="3.3984375" customWidth="1"/>
    <col min="2" max="2" width="14.5" customWidth="1"/>
    <col min="3" max="3" width="58.5" customWidth="1"/>
    <col min="4" max="4" width="27.09765625" customWidth="1"/>
    <col min="5" max="5" width="15.59765625" customWidth="1"/>
    <col min="6" max="6" width="13" customWidth="1"/>
    <col min="7" max="7" width="12.09765625" customWidth="1"/>
    <col min="8" max="8" width="15.19921875" customWidth="1"/>
    <col min="9" max="10" width="25.59765625" customWidth="1"/>
    <col min="11" max="11" width="185.69921875" customWidth="1"/>
    <col min="12" max="12" width="35.59765625" customWidth="1"/>
    <col min="13" max="13" width="3.3984375" customWidth="1"/>
  </cols>
  <sheetData>
    <row r="1" spans="2:19" s="2" customFormat="1" ht="50.1" customHeight="1">
      <c r="B1" s="14" t="s">
        <v>26</v>
      </c>
      <c r="C1" s="3"/>
    </row>
    <row r="2" spans="2:19" s="2" customFormat="1" ht="22.5" customHeight="1">
      <c r="B2" s="43" t="s">
        <v>22</v>
      </c>
      <c r="C2" s="43"/>
      <c r="D2" s="43"/>
      <c r="E2" s="43"/>
      <c r="F2" s="43"/>
      <c r="G2" s="43"/>
    </row>
    <row r="3" spans="2:19" s="2" customFormat="1" ht="22.35" customHeight="1">
      <c r="B3" s="44" t="s">
        <v>23</v>
      </c>
      <c r="C3" s="44"/>
      <c r="D3" s="44"/>
      <c r="E3" s="44"/>
      <c r="F3" s="44"/>
      <c r="G3" s="44"/>
    </row>
    <row r="4" spans="2:19" s="4" customFormat="1" ht="22.35" customHeight="1">
      <c r="B4" s="43" t="s">
        <v>0</v>
      </c>
      <c r="C4" s="43"/>
      <c r="D4" s="43"/>
      <c r="E4" s="43" t="s">
        <v>24</v>
      </c>
      <c r="F4" s="43"/>
      <c r="G4" s="43"/>
      <c r="H4" s="10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2:19" s="4" customFormat="1" ht="22.35" customHeight="1">
      <c r="B5" s="45" t="s">
        <v>109</v>
      </c>
      <c r="C5" s="45"/>
      <c r="D5" s="45"/>
      <c r="E5" s="46">
        <v>46054</v>
      </c>
      <c r="F5" s="45"/>
      <c r="G5" s="45"/>
      <c r="H5" s="11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2:19" s="1" customFormat="1" ht="9" customHeight="1">
      <c r="B6" s="34"/>
      <c r="C6" s="35"/>
      <c r="D6" s="35"/>
      <c r="E6" s="35"/>
      <c r="F6" s="35"/>
      <c r="G6" s="35"/>
      <c r="H6" s="6"/>
    </row>
    <row r="7" spans="2:19" ht="26.1" customHeight="1">
      <c r="B7" s="39" t="s">
        <v>29</v>
      </c>
      <c r="C7" s="36"/>
      <c r="D7" s="36"/>
      <c r="E7" s="36"/>
      <c r="F7" s="36"/>
      <c r="G7" s="36"/>
    </row>
    <row r="8" spans="2:19" ht="39.9" customHeight="1" thickBot="1">
      <c r="B8" s="37" t="s">
        <v>25</v>
      </c>
      <c r="C8" s="38"/>
      <c r="D8" s="38"/>
      <c r="E8" s="38"/>
      <c r="F8" s="38"/>
      <c r="G8" s="38"/>
      <c r="H8" s="23"/>
      <c r="I8" s="23"/>
      <c r="J8" s="23"/>
      <c r="K8" s="23"/>
      <c r="L8" s="24"/>
    </row>
    <row r="9" spans="2:19" s="1" customFormat="1" ht="11.1" customHeight="1">
      <c r="B9" s="13"/>
      <c r="C9" s="6"/>
      <c r="D9" s="6"/>
      <c r="E9" s="6"/>
      <c r="F9" s="6"/>
      <c r="G9" s="6"/>
      <c r="H9" s="6"/>
    </row>
    <row r="10" spans="2:19" s="4" customFormat="1" ht="21.9" customHeight="1">
      <c r="B10" s="47" t="s">
        <v>1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5"/>
      <c r="N10" s="5"/>
      <c r="O10" s="5"/>
      <c r="P10" s="5"/>
      <c r="Q10" s="5"/>
      <c r="R10" s="5"/>
      <c r="S10" s="5"/>
    </row>
    <row r="11" spans="2:19" s="1" customFormat="1" ht="38.1" customHeight="1">
      <c r="B11" s="16" t="s">
        <v>2</v>
      </c>
      <c r="C11" s="16" t="s">
        <v>3</v>
      </c>
      <c r="D11" s="16" t="s">
        <v>4</v>
      </c>
      <c r="E11" s="12" t="s">
        <v>5</v>
      </c>
      <c r="F11" s="12" t="s">
        <v>6</v>
      </c>
      <c r="G11" s="12" t="s">
        <v>7</v>
      </c>
      <c r="H11" s="19" t="s">
        <v>8</v>
      </c>
      <c r="I11" s="19" t="s">
        <v>9</v>
      </c>
      <c r="J11" s="15" t="s">
        <v>10</v>
      </c>
      <c r="K11" s="17" t="s">
        <v>11</v>
      </c>
    </row>
    <row r="12" spans="2:19" s="1" customFormat="1" ht="24.9" customHeight="1">
      <c r="B12" s="18" t="s">
        <v>14</v>
      </c>
      <c r="C12" s="20" t="s">
        <v>30</v>
      </c>
      <c r="D12" s="26" t="s">
        <v>13</v>
      </c>
      <c r="E12" s="21">
        <v>46055</v>
      </c>
      <c r="F12" s="22">
        <v>46061</v>
      </c>
      <c r="G12" s="27">
        <f>F12-E12</f>
        <v>6</v>
      </c>
      <c r="H12" s="41" t="s">
        <v>31</v>
      </c>
      <c r="I12" s="20"/>
      <c r="J12" s="33">
        <v>0</v>
      </c>
      <c r="K12" s="20" t="s">
        <v>36</v>
      </c>
    </row>
    <row r="13" spans="2:19" s="1" customFormat="1" ht="24.9" customHeight="1">
      <c r="B13" s="18" t="s">
        <v>14</v>
      </c>
      <c r="C13" s="20" t="s">
        <v>32</v>
      </c>
      <c r="D13" s="26" t="s">
        <v>13</v>
      </c>
      <c r="E13" s="21">
        <v>46055</v>
      </c>
      <c r="F13" s="22">
        <v>46061</v>
      </c>
      <c r="G13" s="27">
        <f t="shared" ref="G13:G22" si="0">F13-E13</f>
        <v>6</v>
      </c>
      <c r="H13" s="41" t="s">
        <v>33</v>
      </c>
      <c r="I13" s="20"/>
      <c r="J13" s="33">
        <v>0</v>
      </c>
      <c r="K13" s="20" t="s">
        <v>35</v>
      </c>
    </row>
    <row r="14" spans="2:19" s="1" customFormat="1" ht="24.9" customHeight="1">
      <c r="B14" s="18" t="s">
        <v>14</v>
      </c>
      <c r="C14" s="20" t="s">
        <v>34</v>
      </c>
      <c r="D14" s="26" t="s">
        <v>13</v>
      </c>
      <c r="E14" s="21">
        <v>46055</v>
      </c>
      <c r="F14" s="22">
        <v>46057</v>
      </c>
      <c r="G14" s="27">
        <f t="shared" si="0"/>
        <v>2</v>
      </c>
      <c r="H14" s="41" t="s">
        <v>33</v>
      </c>
      <c r="I14" s="20"/>
      <c r="J14" s="33">
        <v>3000</v>
      </c>
      <c r="K14" s="20" t="s">
        <v>37</v>
      </c>
    </row>
    <row r="15" spans="2:19" s="1" customFormat="1" ht="24.9" customHeight="1">
      <c r="B15" s="18" t="s">
        <v>14</v>
      </c>
      <c r="C15" s="28" t="s">
        <v>38</v>
      </c>
      <c r="D15" s="26" t="s">
        <v>13</v>
      </c>
      <c r="E15" s="29">
        <v>46055</v>
      </c>
      <c r="F15" s="30">
        <v>46057</v>
      </c>
      <c r="G15" s="27">
        <f t="shared" si="0"/>
        <v>2</v>
      </c>
      <c r="H15" s="20" t="s">
        <v>39</v>
      </c>
      <c r="I15" s="20"/>
      <c r="J15" s="33">
        <v>0</v>
      </c>
      <c r="K15" s="31" t="s">
        <v>40</v>
      </c>
    </row>
    <row r="16" spans="2:19" s="1" customFormat="1" ht="24.9" customHeight="1">
      <c r="B16" s="18" t="s">
        <v>14</v>
      </c>
      <c r="C16" s="42" t="s">
        <v>41</v>
      </c>
      <c r="D16" s="26" t="s">
        <v>13</v>
      </c>
      <c r="E16" s="29">
        <v>46057</v>
      </c>
      <c r="F16" s="30">
        <v>46058</v>
      </c>
      <c r="G16" s="27">
        <f t="shared" si="0"/>
        <v>1</v>
      </c>
      <c r="H16" s="41" t="s">
        <v>42</v>
      </c>
      <c r="I16" s="20"/>
      <c r="J16" s="33">
        <v>0</v>
      </c>
      <c r="K16" s="31" t="s">
        <v>43</v>
      </c>
    </row>
    <row r="17" spans="2:19" s="1" customFormat="1" ht="24.9" customHeight="1">
      <c r="B17" s="18" t="s">
        <v>14</v>
      </c>
      <c r="C17" s="42" t="s">
        <v>44</v>
      </c>
      <c r="D17" s="26" t="s">
        <v>13</v>
      </c>
      <c r="E17" s="29">
        <v>46058</v>
      </c>
      <c r="F17" s="30">
        <v>46058</v>
      </c>
      <c r="G17" s="27">
        <f t="shared" ref="G17:G19" si="1">F17-E17</f>
        <v>0</v>
      </c>
      <c r="H17" s="27" t="s">
        <v>45</v>
      </c>
      <c r="I17" s="28"/>
      <c r="J17" s="33">
        <v>0</v>
      </c>
      <c r="K17" s="32" t="s">
        <v>46</v>
      </c>
    </row>
    <row r="18" spans="2:19" s="1" customFormat="1" ht="24.9" customHeight="1">
      <c r="B18" s="18" t="s">
        <v>14</v>
      </c>
      <c r="C18" s="42" t="s">
        <v>47</v>
      </c>
      <c r="D18" s="26" t="s">
        <v>13</v>
      </c>
      <c r="E18" s="29">
        <v>46058</v>
      </c>
      <c r="F18" s="30">
        <v>46058</v>
      </c>
      <c r="G18" s="27">
        <f t="shared" si="1"/>
        <v>0</v>
      </c>
      <c r="H18" s="27" t="s">
        <v>33</v>
      </c>
      <c r="I18" s="28"/>
      <c r="J18" s="33">
        <v>0</v>
      </c>
      <c r="K18" s="32" t="s">
        <v>49</v>
      </c>
    </row>
    <row r="19" spans="2:19" s="1" customFormat="1" ht="24.9" customHeight="1">
      <c r="B19" s="18" t="s">
        <v>12</v>
      </c>
      <c r="C19" s="42" t="s">
        <v>48</v>
      </c>
      <c r="D19" s="26" t="s">
        <v>13</v>
      </c>
      <c r="E19" s="29">
        <v>46058</v>
      </c>
      <c r="F19" s="30">
        <v>46058</v>
      </c>
      <c r="G19" s="27">
        <f t="shared" si="1"/>
        <v>0</v>
      </c>
      <c r="H19" s="27" t="s">
        <v>39</v>
      </c>
      <c r="I19" s="28"/>
      <c r="J19" s="33">
        <v>0</v>
      </c>
      <c r="K19" s="32" t="s">
        <v>50</v>
      </c>
    </row>
    <row r="20" spans="2:19" s="1" customFormat="1" ht="24.9" customHeight="1">
      <c r="B20" s="18" t="s">
        <v>17</v>
      </c>
      <c r="C20" s="42" t="s">
        <v>51</v>
      </c>
      <c r="D20" s="26" t="s">
        <v>13</v>
      </c>
      <c r="E20" s="29">
        <v>46058</v>
      </c>
      <c r="F20" s="30">
        <v>46058</v>
      </c>
      <c r="G20" s="27">
        <f t="shared" ref="G20:G21" si="2">F20-E20</f>
        <v>0</v>
      </c>
      <c r="H20" s="27" t="s">
        <v>45</v>
      </c>
      <c r="I20" s="28"/>
      <c r="J20" s="33">
        <v>0</v>
      </c>
      <c r="K20" s="32" t="s">
        <v>52</v>
      </c>
    </row>
    <row r="21" spans="2:19" s="1" customFormat="1" ht="24.9" customHeight="1">
      <c r="B21" s="18" t="s">
        <v>17</v>
      </c>
      <c r="C21" s="42" t="s">
        <v>101</v>
      </c>
      <c r="D21" s="26" t="s">
        <v>13</v>
      </c>
      <c r="E21" s="29">
        <v>46069</v>
      </c>
      <c r="F21" s="30">
        <v>46069</v>
      </c>
      <c r="G21" s="27">
        <f t="shared" si="2"/>
        <v>0</v>
      </c>
      <c r="H21" s="27" t="s">
        <v>33</v>
      </c>
      <c r="I21" s="28"/>
      <c r="J21" s="33">
        <v>20400</v>
      </c>
      <c r="K21" s="32" t="s">
        <v>102</v>
      </c>
    </row>
    <row r="22" spans="2:19" s="1" customFormat="1" ht="24.9" customHeight="1">
      <c r="B22" s="18" t="s">
        <v>12</v>
      </c>
      <c r="C22" s="42" t="s">
        <v>99</v>
      </c>
      <c r="D22" s="26" t="s">
        <v>16</v>
      </c>
      <c r="E22" s="29">
        <v>46069</v>
      </c>
      <c r="F22" s="30">
        <v>46076</v>
      </c>
      <c r="G22" s="27">
        <f t="shared" si="0"/>
        <v>7</v>
      </c>
      <c r="H22" s="27" t="s">
        <v>100</v>
      </c>
      <c r="I22" s="28"/>
      <c r="J22" s="33">
        <v>0</v>
      </c>
      <c r="K22" s="32"/>
    </row>
    <row r="23" spans="2:19" s="1" customFormat="1" ht="35.1" customHeight="1">
      <c r="B23" s="13"/>
      <c r="C23" s="6"/>
      <c r="D23" s="6"/>
      <c r="E23" s="6"/>
      <c r="F23" s="6"/>
      <c r="G23" s="6"/>
      <c r="H23" s="6"/>
    </row>
    <row r="24" spans="2:19" s="4" customFormat="1" ht="21.9" customHeight="1">
      <c r="B24" s="47" t="s">
        <v>27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5"/>
      <c r="N24" s="5"/>
      <c r="O24" s="5"/>
      <c r="P24" s="5"/>
      <c r="Q24" s="5"/>
      <c r="R24" s="5"/>
      <c r="S24" s="5"/>
    </row>
    <row r="25" spans="2:19" s="1" customFormat="1" ht="38.1" customHeight="1">
      <c r="B25" s="16" t="s">
        <v>2</v>
      </c>
      <c r="C25" s="16" t="s">
        <v>3</v>
      </c>
      <c r="D25" s="16" t="s">
        <v>4</v>
      </c>
      <c r="E25" s="12" t="s">
        <v>5</v>
      </c>
      <c r="F25" s="12" t="s">
        <v>6</v>
      </c>
      <c r="G25" s="12" t="s">
        <v>7</v>
      </c>
      <c r="H25" s="19" t="s">
        <v>8</v>
      </c>
      <c r="I25" s="19" t="s">
        <v>9</v>
      </c>
      <c r="J25" s="15" t="s">
        <v>10</v>
      </c>
      <c r="K25" s="17" t="s">
        <v>11</v>
      </c>
    </row>
    <row r="26" spans="2:19" s="1" customFormat="1" ht="24.9" customHeight="1">
      <c r="B26" s="18" t="s">
        <v>12</v>
      </c>
      <c r="C26" s="41" t="s">
        <v>53</v>
      </c>
      <c r="D26" s="26" t="s">
        <v>16</v>
      </c>
      <c r="E26" s="21"/>
      <c r="F26" s="22"/>
      <c r="G26" s="27">
        <f>F26-E26</f>
        <v>0</v>
      </c>
      <c r="H26" s="41"/>
      <c r="I26" s="20"/>
      <c r="J26" s="33">
        <v>0</v>
      </c>
      <c r="K26" s="20"/>
    </row>
    <row r="27" spans="2:19" s="1" customFormat="1" ht="24.9" customHeight="1">
      <c r="B27" s="18" t="s">
        <v>12</v>
      </c>
      <c r="C27" s="41" t="s">
        <v>54</v>
      </c>
      <c r="D27" s="26" t="s">
        <v>16</v>
      </c>
      <c r="E27" s="21"/>
      <c r="F27" s="22"/>
      <c r="G27" s="27">
        <f t="shared" ref="G27:G48" si="3">F27-E27</f>
        <v>0</v>
      </c>
      <c r="H27" s="41"/>
      <c r="I27" s="20"/>
      <c r="J27" s="33">
        <v>0</v>
      </c>
      <c r="K27" s="20"/>
    </row>
    <row r="28" spans="2:19" s="1" customFormat="1" ht="24.9" customHeight="1">
      <c r="B28" s="18" t="s">
        <v>12</v>
      </c>
      <c r="C28" s="41" t="s">
        <v>55</v>
      </c>
      <c r="D28" s="26" t="s">
        <v>16</v>
      </c>
      <c r="E28" s="21"/>
      <c r="F28" s="22"/>
      <c r="G28" s="27">
        <f t="shared" si="3"/>
        <v>0</v>
      </c>
      <c r="H28" s="41"/>
      <c r="I28" s="20"/>
      <c r="J28" s="33">
        <v>0</v>
      </c>
      <c r="K28" s="20"/>
    </row>
    <row r="29" spans="2:19" s="1" customFormat="1" ht="24.9" customHeight="1">
      <c r="B29" s="18" t="s">
        <v>12</v>
      </c>
      <c r="C29" s="27" t="s">
        <v>56</v>
      </c>
      <c r="D29" s="26" t="s">
        <v>16</v>
      </c>
      <c r="E29" s="29"/>
      <c r="F29" s="30"/>
      <c r="G29" s="27">
        <f t="shared" si="3"/>
        <v>0</v>
      </c>
      <c r="H29" s="41"/>
      <c r="I29" s="20"/>
      <c r="J29" s="33">
        <v>0</v>
      </c>
      <c r="K29" s="31"/>
    </row>
    <row r="30" spans="2:19" s="1" customFormat="1" ht="24.9" customHeight="1">
      <c r="B30" s="18" t="s">
        <v>12</v>
      </c>
      <c r="C30" s="27" t="s">
        <v>57</v>
      </c>
      <c r="D30" s="26" t="s">
        <v>16</v>
      </c>
      <c r="E30" s="29"/>
      <c r="F30" s="30"/>
      <c r="G30" s="27">
        <f t="shared" si="3"/>
        <v>0</v>
      </c>
      <c r="H30" s="41"/>
      <c r="I30" s="20"/>
      <c r="J30" s="33">
        <v>0</v>
      </c>
      <c r="K30" s="31"/>
    </row>
    <row r="31" spans="2:19" s="1" customFormat="1" ht="24.9" customHeight="1">
      <c r="B31" s="18" t="s">
        <v>12</v>
      </c>
      <c r="C31" s="27" t="s">
        <v>58</v>
      </c>
      <c r="D31" s="26" t="s">
        <v>16</v>
      </c>
      <c r="E31" s="29"/>
      <c r="F31" s="30"/>
      <c r="G31" s="27">
        <f t="shared" si="3"/>
        <v>0</v>
      </c>
      <c r="H31" s="41"/>
      <c r="I31" s="20"/>
      <c r="J31" s="33">
        <v>0</v>
      </c>
      <c r="K31" s="31"/>
    </row>
    <row r="32" spans="2:19" s="1" customFormat="1" ht="24.9" customHeight="1">
      <c r="B32" s="18" t="s">
        <v>12</v>
      </c>
      <c r="C32" s="27" t="s">
        <v>59</v>
      </c>
      <c r="D32" s="26" t="s">
        <v>16</v>
      </c>
      <c r="E32" s="29"/>
      <c r="F32" s="30"/>
      <c r="G32" s="27">
        <f t="shared" si="3"/>
        <v>0</v>
      </c>
      <c r="H32" s="41"/>
      <c r="I32" s="20"/>
      <c r="J32" s="33">
        <v>0</v>
      </c>
      <c r="K32" s="31"/>
    </row>
    <row r="33" spans="2:11" s="1" customFormat="1" ht="24.9" customHeight="1">
      <c r="B33" s="18" t="s">
        <v>12</v>
      </c>
      <c r="C33" s="27" t="s">
        <v>60</v>
      </c>
      <c r="D33" s="26" t="s">
        <v>16</v>
      </c>
      <c r="E33" s="29"/>
      <c r="F33" s="30"/>
      <c r="G33" s="27">
        <f t="shared" si="3"/>
        <v>0</v>
      </c>
      <c r="H33" s="41"/>
      <c r="I33" s="20"/>
      <c r="J33" s="33">
        <v>0</v>
      </c>
      <c r="K33" s="31"/>
    </row>
    <row r="34" spans="2:11" s="1" customFormat="1" ht="24.9" customHeight="1">
      <c r="B34" s="18" t="s">
        <v>12</v>
      </c>
      <c r="C34" s="27" t="s">
        <v>61</v>
      </c>
      <c r="D34" s="26" t="s">
        <v>16</v>
      </c>
      <c r="E34" s="29"/>
      <c r="F34" s="30"/>
      <c r="G34" s="27">
        <f t="shared" si="3"/>
        <v>0</v>
      </c>
      <c r="H34" s="41"/>
      <c r="I34" s="20"/>
      <c r="J34" s="33">
        <v>0</v>
      </c>
      <c r="K34" s="31"/>
    </row>
    <row r="35" spans="2:11" s="1" customFormat="1" ht="24.9" customHeight="1">
      <c r="B35" s="18" t="s">
        <v>12</v>
      </c>
      <c r="C35" s="27" t="s">
        <v>62</v>
      </c>
      <c r="D35" s="26" t="s">
        <v>16</v>
      </c>
      <c r="E35" s="29"/>
      <c r="F35" s="30"/>
      <c r="G35" s="27">
        <f t="shared" si="3"/>
        <v>0</v>
      </c>
      <c r="H35" s="41"/>
      <c r="I35" s="20"/>
      <c r="J35" s="33">
        <v>0</v>
      </c>
      <c r="K35" s="31"/>
    </row>
    <row r="36" spans="2:11" s="1" customFormat="1" ht="24.9" customHeight="1">
      <c r="B36" s="18" t="s">
        <v>12</v>
      </c>
      <c r="C36" s="27" t="s">
        <v>63</v>
      </c>
      <c r="D36" s="26" t="s">
        <v>16</v>
      </c>
      <c r="E36" s="29"/>
      <c r="F36" s="30"/>
      <c r="G36" s="27">
        <f t="shared" si="3"/>
        <v>0</v>
      </c>
      <c r="H36" s="41"/>
      <c r="I36" s="20"/>
      <c r="J36" s="33">
        <v>0</v>
      </c>
      <c r="K36" s="31"/>
    </row>
    <row r="37" spans="2:11" s="1" customFormat="1" ht="24.9" customHeight="1">
      <c r="B37" s="18" t="s">
        <v>12</v>
      </c>
      <c r="C37" s="27" t="s">
        <v>64</v>
      </c>
      <c r="D37" s="26" t="s">
        <v>16</v>
      </c>
      <c r="E37" s="29"/>
      <c r="F37" s="30"/>
      <c r="G37" s="27">
        <f t="shared" si="3"/>
        <v>0</v>
      </c>
      <c r="H37" s="41"/>
      <c r="I37" s="20"/>
      <c r="J37" s="33">
        <v>0</v>
      </c>
      <c r="K37" s="31"/>
    </row>
    <row r="38" spans="2:11" s="1" customFormat="1" ht="24.9" customHeight="1">
      <c r="B38" s="18" t="s">
        <v>12</v>
      </c>
      <c r="C38" s="27" t="s">
        <v>65</v>
      </c>
      <c r="D38" s="26" t="s">
        <v>16</v>
      </c>
      <c r="E38" s="29"/>
      <c r="F38" s="30"/>
      <c r="G38" s="27">
        <f t="shared" si="3"/>
        <v>0</v>
      </c>
      <c r="H38" s="41"/>
      <c r="I38" s="20"/>
      <c r="J38" s="33">
        <v>0</v>
      </c>
      <c r="K38" s="31"/>
    </row>
    <row r="39" spans="2:11" s="1" customFormat="1" ht="24.9" customHeight="1">
      <c r="B39" s="18" t="s">
        <v>12</v>
      </c>
      <c r="C39" s="27" t="s">
        <v>66</v>
      </c>
      <c r="D39" s="26" t="s">
        <v>16</v>
      </c>
      <c r="E39" s="29"/>
      <c r="F39" s="30"/>
      <c r="G39" s="27">
        <f t="shared" si="3"/>
        <v>0</v>
      </c>
      <c r="H39" s="41"/>
      <c r="I39" s="20"/>
      <c r="J39" s="33">
        <v>0</v>
      </c>
      <c r="K39" s="31"/>
    </row>
    <row r="40" spans="2:11" s="1" customFormat="1" ht="24.9" customHeight="1">
      <c r="B40" s="18" t="s">
        <v>12</v>
      </c>
      <c r="C40" s="27" t="s">
        <v>67</v>
      </c>
      <c r="D40" s="26" t="s">
        <v>16</v>
      </c>
      <c r="E40" s="29"/>
      <c r="F40" s="30"/>
      <c r="G40" s="27">
        <f t="shared" si="3"/>
        <v>0</v>
      </c>
      <c r="H40" s="41"/>
      <c r="I40" s="20"/>
      <c r="J40" s="33">
        <v>0</v>
      </c>
      <c r="K40" s="31"/>
    </row>
    <row r="41" spans="2:11" s="1" customFormat="1" ht="24.9" customHeight="1">
      <c r="B41" s="18" t="s">
        <v>12</v>
      </c>
      <c r="C41" s="27" t="s">
        <v>68</v>
      </c>
      <c r="D41" s="26" t="s">
        <v>16</v>
      </c>
      <c r="E41" s="29"/>
      <c r="F41" s="30"/>
      <c r="G41" s="27">
        <f t="shared" si="3"/>
        <v>0</v>
      </c>
      <c r="H41" s="41"/>
      <c r="I41" s="20"/>
      <c r="J41" s="33">
        <v>0</v>
      </c>
      <c r="K41" s="31"/>
    </row>
    <row r="42" spans="2:11" s="1" customFormat="1" ht="24.9" customHeight="1">
      <c r="B42" s="18" t="s">
        <v>12</v>
      </c>
      <c r="C42" s="27" t="s">
        <v>69</v>
      </c>
      <c r="D42" s="26" t="s">
        <v>16</v>
      </c>
      <c r="E42" s="29"/>
      <c r="F42" s="30"/>
      <c r="G42" s="27">
        <f t="shared" si="3"/>
        <v>0</v>
      </c>
      <c r="H42" s="41"/>
      <c r="I42" s="20"/>
      <c r="J42" s="33">
        <v>0</v>
      </c>
      <c r="K42" s="31"/>
    </row>
    <row r="43" spans="2:11" s="1" customFormat="1" ht="24.9" customHeight="1">
      <c r="B43" s="18" t="s">
        <v>12</v>
      </c>
      <c r="C43" s="27" t="s">
        <v>70</v>
      </c>
      <c r="D43" s="26" t="s">
        <v>16</v>
      </c>
      <c r="E43" s="29"/>
      <c r="F43" s="30"/>
      <c r="G43" s="27">
        <f t="shared" si="3"/>
        <v>0</v>
      </c>
      <c r="H43" s="41"/>
      <c r="I43" s="20"/>
      <c r="J43" s="33">
        <v>0</v>
      </c>
      <c r="K43" s="31"/>
    </row>
    <row r="44" spans="2:11" s="1" customFormat="1" ht="24.9" customHeight="1">
      <c r="B44" s="18" t="s">
        <v>12</v>
      </c>
      <c r="C44" s="27" t="s">
        <v>71</v>
      </c>
      <c r="D44" s="26" t="s">
        <v>16</v>
      </c>
      <c r="E44" s="29"/>
      <c r="F44" s="30"/>
      <c r="G44" s="27">
        <f t="shared" si="3"/>
        <v>0</v>
      </c>
      <c r="H44" s="41"/>
      <c r="I44" s="20"/>
      <c r="J44" s="33">
        <v>0</v>
      </c>
      <c r="K44" s="31"/>
    </row>
    <row r="45" spans="2:11" s="1" customFormat="1" ht="24.9" customHeight="1">
      <c r="B45" s="18" t="s">
        <v>12</v>
      </c>
      <c r="C45" s="27" t="s">
        <v>72</v>
      </c>
      <c r="D45" s="26" t="s">
        <v>16</v>
      </c>
      <c r="E45" s="29"/>
      <c r="F45" s="30"/>
      <c r="G45" s="27">
        <f t="shared" si="3"/>
        <v>0</v>
      </c>
      <c r="H45" s="41"/>
      <c r="I45" s="20"/>
      <c r="J45" s="33">
        <v>0</v>
      </c>
      <c r="K45" s="31"/>
    </row>
    <row r="46" spans="2:11" s="1" customFormat="1" ht="24.9" customHeight="1">
      <c r="B46" s="18" t="s">
        <v>12</v>
      </c>
      <c r="C46" s="27" t="s">
        <v>73</v>
      </c>
      <c r="D46" s="26" t="s">
        <v>16</v>
      </c>
      <c r="E46" s="29"/>
      <c r="F46" s="30"/>
      <c r="G46" s="27">
        <f t="shared" si="3"/>
        <v>0</v>
      </c>
      <c r="H46" s="41"/>
      <c r="I46" s="20"/>
      <c r="J46" s="33">
        <v>0</v>
      </c>
      <c r="K46" s="31"/>
    </row>
    <row r="47" spans="2:11" s="1" customFormat="1" ht="24.9" customHeight="1">
      <c r="B47" s="18" t="s">
        <v>12</v>
      </c>
      <c r="C47" s="27" t="s">
        <v>74</v>
      </c>
      <c r="D47" s="26" t="s">
        <v>16</v>
      </c>
      <c r="E47" s="29"/>
      <c r="F47" s="30"/>
      <c r="G47" s="27">
        <f t="shared" si="3"/>
        <v>0</v>
      </c>
      <c r="H47" s="41"/>
      <c r="I47" s="20"/>
      <c r="J47" s="33">
        <v>0</v>
      </c>
      <c r="K47" s="31"/>
    </row>
    <row r="48" spans="2:11" s="1" customFormat="1" ht="24.9" customHeight="1">
      <c r="B48" s="18" t="s">
        <v>12</v>
      </c>
      <c r="C48" s="27" t="s">
        <v>75</v>
      </c>
      <c r="D48" s="26" t="s">
        <v>16</v>
      </c>
      <c r="E48" s="29"/>
      <c r="F48" s="30"/>
      <c r="G48" s="27">
        <f t="shared" si="3"/>
        <v>0</v>
      </c>
      <c r="H48" s="41"/>
      <c r="I48" s="20"/>
      <c r="J48" s="33">
        <v>0</v>
      </c>
      <c r="K48" s="31"/>
    </row>
    <row r="49" spans="2:11" s="1" customFormat="1" ht="24.9" customHeight="1">
      <c r="B49" s="18" t="s">
        <v>12</v>
      </c>
      <c r="C49" s="27" t="s">
        <v>76</v>
      </c>
      <c r="D49" s="26" t="s">
        <v>16</v>
      </c>
      <c r="E49" s="29"/>
      <c r="F49" s="30"/>
      <c r="G49" s="27">
        <f t="shared" ref="G49:G73" si="4">F49-E49</f>
        <v>0</v>
      </c>
      <c r="H49" s="41"/>
      <c r="I49" s="20"/>
      <c r="J49" s="33">
        <v>0</v>
      </c>
      <c r="K49" s="31"/>
    </row>
    <row r="50" spans="2:11" s="1" customFormat="1" ht="24.9" customHeight="1">
      <c r="B50" s="18" t="s">
        <v>12</v>
      </c>
      <c r="C50" s="27" t="s">
        <v>77</v>
      </c>
      <c r="D50" s="26" t="s">
        <v>16</v>
      </c>
      <c r="E50" s="29"/>
      <c r="F50" s="30"/>
      <c r="G50" s="27">
        <f t="shared" si="4"/>
        <v>0</v>
      </c>
      <c r="H50" s="41"/>
      <c r="I50" s="20"/>
      <c r="J50" s="33">
        <v>0</v>
      </c>
      <c r="K50" s="31"/>
    </row>
    <row r="51" spans="2:11" s="1" customFormat="1" ht="24.9" customHeight="1">
      <c r="B51" s="18" t="s">
        <v>12</v>
      </c>
      <c r="C51" s="27" t="s">
        <v>78</v>
      </c>
      <c r="D51" s="26" t="s">
        <v>16</v>
      </c>
      <c r="E51" s="29"/>
      <c r="F51" s="30"/>
      <c r="G51" s="27">
        <f t="shared" si="4"/>
        <v>0</v>
      </c>
      <c r="H51" s="41"/>
      <c r="I51" s="20"/>
      <c r="J51" s="33">
        <v>0</v>
      </c>
      <c r="K51" s="31"/>
    </row>
    <row r="52" spans="2:11" s="1" customFormat="1" ht="24.9" customHeight="1">
      <c r="B52" s="18" t="s">
        <v>12</v>
      </c>
      <c r="C52" s="27" t="s">
        <v>79</v>
      </c>
      <c r="D52" s="26" t="s">
        <v>16</v>
      </c>
      <c r="E52" s="29"/>
      <c r="F52" s="30"/>
      <c r="G52" s="27">
        <f t="shared" si="4"/>
        <v>0</v>
      </c>
      <c r="H52" s="41"/>
      <c r="I52" s="20"/>
      <c r="J52" s="33">
        <v>0</v>
      </c>
      <c r="K52" s="31"/>
    </row>
    <row r="53" spans="2:11" s="1" customFormat="1" ht="24.9" customHeight="1">
      <c r="B53" s="18" t="s">
        <v>12</v>
      </c>
      <c r="C53" s="27" t="s">
        <v>80</v>
      </c>
      <c r="D53" s="26" t="s">
        <v>16</v>
      </c>
      <c r="E53" s="29"/>
      <c r="F53" s="30"/>
      <c r="G53" s="27">
        <f t="shared" si="4"/>
        <v>0</v>
      </c>
      <c r="H53" s="41"/>
      <c r="I53" s="20"/>
      <c r="J53" s="33">
        <v>0</v>
      </c>
      <c r="K53" s="31"/>
    </row>
    <row r="54" spans="2:11" s="1" customFormat="1" ht="24.9" customHeight="1">
      <c r="B54" s="18" t="s">
        <v>12</v>
      </c>
      <c r="C54" s="27" t="s">
        <v>81</v>
      </c>
      <c r="D54" s="26" t="s">
        <v>16</v>
      </c>
      <c r="E54" s="29"/>
      <c r="F54" s="30"/>
      <c r="G54" s="27">
        <f t="shared" si="4"/>
        <v>0</v>
      </c>
      <c r="H54" s="41"/>
      <c r="I54" s="20"/>
      <c r="J54" s="33">
        <v>0</v>
      </c>
      <c r="K54" s="31"/>
    </row>
    <row r="55" spans="2:11" s="1" customFormat="1" ht="24.9" customHeight="1">
      <c r="B55" s="18" t="s">
        <v>12</v>
      </c>
      <c r="C55" s="27" t="s">
        <v>82</v>
      </c>
      <c r="D55" s="26" t="s">
        <v>16</v>
      </c>
      <c r="E55" s="29"/>
      <c r="F55" s="30"/>
      <c r="G55" s="27">
        <f t="shared" si="4"/>
        <v>0</v>
      </c>
      <c r="H55" s="41"/>
      <c r="I55" s="20"/>
      <c r="J55" s="33">
        <v>0</v>
      </c>
      <c r="K55" s="31"/>
    </row>
    <row r="56" spans="2:11" s="1" customFormat="1" ht="24.9" customHeight="1">
      <c r="B56" s="18" t="s">
        <v>12</v>
      </c>
      <c r="C56" s="27" t="s">
        <v>83</v>
      </c>
      <c r="D56" s="26" t="s">
        <v>16</v>
      </c>
      <c r="E56" s="29"/>
      <c r="F56" s="30"/>
      <c r="G56" s="27">
        <f t="shared" si="4"/>
        <v>0</v>
      </c>
      <c r="H56" s="41"/>
      <c r="I56" s="20"/>
      <c r="J56" s="33">
        <v>0</v>
      </c>
      <c r="K56" s="31"/>
    </row>
    <row r="57" spans="2:11" s="1" customFormat="1" ht="24.9" customHeight="1">
      <c r="B57" s="18" t="s">
        <v>12</v>
      </c>
      <c r="C57" s="27" t="s">
        <v>84</v>
      </c>
      <c r="D57" s="26" t="s">
        <v>16</v>
      </c>
      <c r="E57" s="29"/>
      <c r="F57" s="30"/>
      <c r="G57" s="27">
        <f t="shared" si="4"/>
        <v>0</v>
      </c>
      <c r="H57" s="41"/>
      <c r="I57" s="20"/>
      <c r="J57" s="33">
        <v>0</v>
      </c>
      <c r="K57" s="31"/>
    </row>
    <row r="58" spans="2:11" s="1" customFormat="1" ht="24.9" customHeight="1">
      <c r="B58" s="18" t="s">
        <v>12</v>
      </c>
      <c r="C58" s="27" t="s">
        <v>85</v>
      </c>
      <c r="D58" s="26" t="s">
        <v>16</v>
      </c>
      <c r="E58" s="29"/>
      <c r="F58" s="30"/>
      <c r="G58" s="27">
        <f t="shared" si="4"/>
        <v>0</v>
      </c>
      <c r="H58" s="41"/>
      <c r="I58" s="20"/>
      <c r="J58" s="33">
        <v>0</v>
      </c>
      <c r="K58" s="31"/>
    </row>
    <row r="59" spans="2:11" s="1" customFormat="1" ht="24.9" customHeight="1">
      <c r="B59" s="18" t="s">
        <v>12</v>
      </c>
      <c r="C59" s="27" t="s">
        <v>86</v>
      </c>
      <c r="D59" s="26" t="s">
        <v>16</v>
      </c>
      <c r="E59" s="29"/>
      <c r="F59" s="30"/>
      <c r="G59" s="27">
        <f t="shared" si="4"/>
        <v>0</v>
      </c>
      <c r="H59" s="41"/>
      <c r="I59" s="20"/>
      <c r="J59" s="33">
        <v>0</v>
      </c>
      <c r="K59" s="31"/>
    </row>
    <row r="60" spans="2:11" s="1" customFormat="1" ht="24.9" customHeight="1">
      <c r="B60" s="18" t="s">
        <v>12</v>
      </c>
      <c r="C60" s="27" t="s">
        <v>87</v>
      </c>
      <c r="D60" s="26" t="s">
        <v>16</v>
      </c>
      <c r="E60" s="29"/>
      <c r="F60" s="30"/>
      <c r="G60" s="27">
        <f t="shared" si="4"/>
        <v>0</v>
      </c>
      <c r="H60" s="41"/>
      <c r="I60" s="20"/>
      <c r="J60" s="33">
        <v>0</v>
      </c>
      <c r="K60" s="31"/>
    </row>
    <row r="61" spans="2:11" s="1" customFormat="1" ht="24.9" customHeight="1">
      <c r="B61" s="18" t="s">
        <v>12</v>
      </c>
      <c r="C61" s="27" t="s">
        <v>88</v>
      </c>
      <c r="D61" s="26" t="s">
        <v>16</v>
      </c>
      <c r="E61" s="29"/>
      <c r="F61" s="30"/>
      <c r="G61" s="27">
        <f t="shared" si="4"/>
        <v>0</v>
      </c>
      <c r="H61" s="41"/>
      <c r="I61" s="20"/>
      <c r="J61" s="33">
        <v>0</v>
      </c>
      <c r="K61" s="31"/>
    </row>
    <row r="62" spans="2:11" s="1" customFormat="1" ht="24.9" customHeight="1">
      <c r="B62" s="18" t="s">
        <v>12</v>
      </c>
      <c r="C62" s="27" t="s">
        <v>89</v>
      </c>
      <c r="D62" s="26" t="s">
        <v>16</v>
      </c>
      <c r="E62" s="29"/>
      <c r="F62" s="30"/>
      <c r="G62" s="27">
        <f t="shared" si="4"/>
        <v>0</v>
      </c>
      <c r="H62" s="41"/>
      <c r="I62" s="20"/>
      <c r="J62" s="33">
        <v>0</v>
      </c>
      <c r="K62" s="31"/>
    </row>
    <row r="63" spans="2:11" s="1" customFormat="1" ht="24.9" customHeight="1">
      <c r="B63" s="18" t="s">
        <v>12</v>
      </c>
      <c r="C63" s="27" t="s">
        <v>90</v>
      </c>
      <c r="D63" s="26" t="s">
        <v>16</v>
      </c>
      <c r="E63" s="29"/>
      <c r="F63" s="30"/>
      <c r="G63" s="27">
        <f t="shared" si="4"/>
        <v>0</v>
      </c>
      <c r="H63" s="20"/>
      <c r="I63" s="20"/>
      <c r="J63" s="33">
        <v>0</v>
      </c>
      <c r="K63" s="31"/>
    </row>
    <row r="64" spans="2:11" s="1" customFormat="1" ht="24.9" customHeight="1">
      <c r="B64" s="18" t="s">
        <v>12</v>
      </c>
      <c r="C64" s="27" t="s">
        <v>91</v>
      </c>
      <c r="D64" s="26" t="s">
        <v>16</v>
      </c>
      <c r="E64" s="29"/>
      <c r="F64" s="30"/>
      <c r="G64" s="27">
        <f t="shared" si="4"/>
        <v>0</v>
      </c>
      <c r="H64" s="20"/>
      <c r="I64" s="20"/>
      <c r="J64" s="33">
        <v>0</v>
      </c>
      <c r="K64" s="31"/>
    </row>
    <row r="65" spans="2:11" s="1" customFormat="1" ht="24.9" customHeight="1">
      <c r="B65" s="18" t="s">
        <v>12</v>
      </c>
      <c r="C65" s="27" t="s">
        <v>92</v>
      </c>
      <c r="D65" s="26" t="s">
        <v>16</v>
      </c>
      <c r="E65" s="29"/>
      <c r="F65" s="30"/>
      <c r="G65" s="27">
        <f t="shared" si="4"/>
        <v>0</v>
      </c>
      <c r="H65" s="20"/>
      <c r="I65" s="20"/>
      <c r="J65" s="33">
        <v>0</v>
      </c>
      <c r="K65" s="31"/>
    </row>
    <row r="66" spans="2:11" s="1" customFormat="1" ht="24.9" customHeight="1">
      <c r="B66" s="18" t="s">
        <v>12</v>
      </c>
      <c r="C66" s="27" t="s">
        <v>93</v>
      </c>
      <c r="D66" s="26" t="s">
        <v>16</v>
      </c>
      <c r="E66" s="29"/>
      <c r="F66" s="30"/>
      <c r="G66" s="27">
        <f t="shared" si="4"/>
        <v>0</v>
      </c>
      <c r="H66" s="20"/>
      <c r="I66" s="20"/>
      <c r="J66" s="33">
        <v>0</v>
      </c>
      <c r="K66" s="31"/>
    </row>
    <row r="67" spans="2:11" s="1" customFormat="1" ht="24.9" customHeight="1">
      <c r="B67" s="18" t="s">
        <v>12</v>
      </c>
      <c r="C67" s="27" t="s">
        <v>94</v>
      </c>
      <c r="D67" s="26" t="s">
        <v>16</v>
      </c>
      <c r="E67" s="29"/>
      <c r="F67" s="30"/>
      <c r="G67" s="27">
        <f t="shared" si="4"/>
        <v>0</v>
      </c>
      <c r="H67" s="20"/>
      <c r="I67" s="20"/>
      <c r="J67" s="33">
        <v>0</v>
      </c>
      <c r="K67" s="31"/>
    </row>
    <row r="68" spans="2:11" s="1" customFormat="1" ht="24.9" customHeight="1">
      <c r="B68" s="18" t="s">
        <v>12</v>
      </c>
      <c r="C68" s="27" t="s">
        <v>95</v>
      </c>
      <c r="D68" s="26" t="s">
        <v>16</v>
      </c>
      <c r="E68" s="29"/>
      <c r="F68" s="30"/>
      <c r="G68" s="27">
        <f t="shared" si="4"/>
        <v>0</v>
      </c>
      <c r="H68" s="20"/>
      <c r="I68" s="20"/>
      <c r="J68" s="33">
        <v>0</v>
      </c>
      <c r="K68" s="31"/>
    </row>
    <row r="69" spans="2:11" s="1" customFormat="1" ht="24.9" customHeight="1">
      <c r="B69" s="18" t="s">
        <v>12</v>
      </c>
      <c r="C69" s="27" t="s">
        <v>96</v>
      </c>
      <c r="D69" s="26" t="s">
        <v>16</v>
      </c>
      <c r="E69" s="29"/>
      <c r="F69" s="30"/>
      <c r="G69" s="27">
        <f t="shared" si="4"/>
        <v>0</v>
      </c>
      <c r="H69" s="20"/>
      <c r="I69" s="20"/>
      <c r="J69" s="33">
        <v>0</v>
      </c>
      <c r="K69" s="31"/>
    </row>
    <row r="70" spans="2:11" s="1" customFormat="1" ht="24.9" customHeight="1">
      <c r="B70" s="18" t="s">
        <v>12</v>
      </c>
      <c r="C70" s="27" t="s">
        <v>97</v>
      </c>
      <c r="D70" s="26" t="s">
        <v>16</v>
      </c>
      <c r="E70" s="29"/>
      <c r="F70" s="30"/>
      <c r="G70" s="27">
        <f t="shared" si="4"/>
        <v>0</v>
      </c>
      <c r="H70" s="20"/>
      <c r="I70" s="20"/>
      <c r="J70" s="33">
        <v>0</v>
      </c>
      <c r="K70" s="31"/>
    </row>
    <row r="71" spans="2:11" s="1" customFormat="1" ht="24.9" customHeight="1">
      <c r="B71" s="18" t="s">
        <v>12</v>
      </c>
      <c r="C71" s="27" t="s">
        <v>98</v>
      </c>
      <c r="D71" s="26" t="s">
        <v>16</v>
      </c>
      <c r="E71" s="29"/>
      <c r="F71" s="30"/>
      <c r="G71" s="27">
        <f t="shared" si="4"/>
        <v>0</v>
      </c>
      <c r="H71" s="20"/>
      <c r="I71" s="20"/>
      <c r="J71" s="33">
        <v>0</v>
      </c>
      <c r="K71" s="31"/>
    </row>
    <row r="72" spans="2:11" s="1" customFormat="1" ht="24.9" customHeight="1">
      <c r="B72" s="18" t="s">
        <v>12</v>
      </c>
      <c r="C72" s="27" t="s">
        <v>103</v>
      </c>
      <c r="D72" s="26" t="s">
        <v>16</v>
      </c>
      <c r="E72" s="29"/>
      <c r="F72" s="30"/>
      <c r="G72" s="27">
        <f t="shared" si="4"/>
        <v>0</v>
      </c>
      <c r="H72" s="20"/>
      <c r="I72" s="20"/>
      <c r="J72" s="33">
        <v>0</v>
      </c>
      <c r="K72" s="31"/>
    </row>
    <row r="73" spans="2:11" s="1" customFormat="1" ht="24.9" customHeight="1">
      <c r="B73" s="18" t="s">
        <v>12</v>
      </c>
      <c r="C73" s="27" t="s">
        <v>104</v>
      </c>
      <c r="D73" s="26" t="s">
        <v>16</v>
      </c>
      <c r="E73" s="29"/>
      <c r="F73" s="30"/>
      <c r="G73" s="27">
        <f t="shared" si="4"/>
        <v>0</v>
      </c>
      <c r="H73" s="20"/>
      <c r="I73" s="20"/>
      <c r="J73" s="33">
        <v>0</v>
      </c>
      <c r="K73" s="31"/>
    </row>
    <row r="74" spans="2:11" s="1" customFormat="1" ht="24.9" customHeight="1">
      <c r="B74" s="18" t="s">
        <v>12</v>
      </c>
      <c r="C74" s="27" t="s">
        <v>105</v>
      </c>
      <c r="D74" s="26" t="s">
        <v>16</v>
      </c>
      <c r="E74" s="29"/>
      <c r="F74" s="30"/>
      <c r="G74" s="27">
        <f t="shared" ref="G74:G78" si="5">F74-E74</f>
        <v>0</v>
      </c>
      <c r="H74" s="20"/>
      <c r="I74" s="20"/>
      <c r="J74" s="33">
        <v>0</v>
      </c>
      <c r="K74" s="31"/>
    </row>
    <row r="75" spans="2:11" s="1" customFormat="1" ht="24.9" customHeight="1">
      <c r="B75" s="18" t="s">
        <v>12</v>
      </c>
      <c r="C75" s="27" t="s">
        <v>87</v>
      </c>
      <c r="D75" s="26" t="s">
        <v>16</v>
      </c>
      <c r="E75" s="29"/>
      <c r="F75" s="30"/>
      <c r="G75" s="27">
        <f t="shared" si="5"/>
        <v>0</v>
      </c>
      <c r="H75" s="28"/>
      <c r="I75" s="28"/>
      <c r="J75" s="33">
        <v>0</v>
      </c>
      <c r="K75" s="32"/>
    </row>
    <row r="76" spans="2:11" s="1" customFormat="1" ht="24.9" customHeight="1">
      <c r="B76" s="18" t="s">
        <v>12</v>
      </c>
      <c r="C76" s="27" t="s">
        <v>106</v>
      </c>
      <c r="D76" s="26" t="s">
        <v>16</v>
      </c>
      <c r="E76" s="29"/>
      <c r="F76" s="30"/>
      <c r="G76" s="27">
        <f t="shared" si="5"/>
        <v>0</v>
      </c>
      <c r="H76" s="20"/>
      <c r="I76" s="20"/>
      <c r="J76" s="33">
        <v>0</v>
      </c>
      <c r="K76" s="31"/>
    </row>
    <row r="77" spans="2:11" s="1" customFormat="1" ht="24.9" customHeight="1">
      <c r="B77" s="18" t="s">
        <v>12</v>
      </c>
      <c r="C77" s="27" t="s">
        <v>107</v>
      </c>
      <c r="D77" s="26" t="s">
        <v>16</v>
      </c>
      <c r="E77" s="29"/>
      <c r="F77" s="30"/>
      <c r="G77" s="27">
        <f t="shared" si="5"/>
        <v>0</v>
      </c>
      <c r="H77" s="28"/>
      <c r="I77" s="28"/>
      <c r="J77" s="33">
        <v>0</v>
      </c>
      <c r="K77" s="32"/>
    </row>
    <row r="78" spans="2:11" s="1" customFormat="1" ht="24.9" customHeight="1">
      <c r="B78" s="18" t="s">
        <v>12</v>
      </c>
      <c r="C78" s="27" t="s">
        <v>108</v>
      </c>
      <c r="D78" s="26" t="s">
        <v>16</v>
      </c>
      <c r="E78" s="29"/>
      <c r="F78" s="30"/>
      <c r="G78" s="27">
        <f t="shared" si="5"/>
        <v>0</v>
      </c>
      <c r="H78" s="20"/>
      <c r="I78" s="20"/>
      <c r="J78" s="33">
        <v>0</v>
      </c>
      <c r="K78" s="31"/>
    </row>
    <row r="79" spans="2:11" s="1" customFormat="1" ht="24.9" customHeight="1"/>
    <row r="82" spans="2:19" s="4" customFormat="1" ht="21.9" customHeight="1">
      <c r="B82" s="47" t="s">
        <v>28</v>
      </c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5"/>
      <c r="N82" s="5"/>
      <c r="O82" s="5"/>
      <c r="P82" s="5"/>
      <c r="Q82" s="5"/>
      <c r="R82" s="5"/>
      <c r="S82" s="5"/>
    </row>
    <row r="83" spans="2:19" s="1" customFormat="1" ht="38.1" customHeight="1">
      <c r="B83" s="16" t="s">
        <v>2</v>
      </c>
      <c r="C83" s="16" t="s">
        <v>3</v>
      </c>
      <c r="D83" s="16" t="s">
        <v>4</v>
      </c>
      <c r="E83" s="12" t="s">
        <v>5</v>
      </c>
      <c r="F83" s="12" t="s">
        <v>6</v>
      </c>
      <c r="G83" s="12" t="s">
        <v>7</v>
      </c>
      <c r="H83" s="19" t="s">
        <v>8</v>
      </c>
      <c r="I83" s="19" t="s">
        <v>9</v>
      </c>
      <c r="J83" s="15" t="s">
        <v>10</v>
      </c>
      <c r="K83" s="17" t="s">
        <v>11</v>
      </c>
    </row>
    <row r="84" spans="2:19" s="1" customFormat="1" ht="24.9" customHeight="1">
      <c r="B84" s="18" t="s">
        <v>17</v>
      </c>
      <c r="C84" s="20"/>
      <c r="D84" s="26" t="s">
        <v>16</v>
      </c>
      <c r="E84" s="21"/>
      <c r="F84" s="22"/>
      <c r="G84" s="27">
        <f>F84-E84</f>
        <v>0</v>
      </c>
      <c r="H84" s="20"/>
      <c r="I84" s="20"/>
      <c r="J84" s="33">
        <v>0</v>
      </c>
      <c r="K84" s="20"/>
    </row>
    <row r="85" spans="2:19" s="1" customFormat="1" ht="24.9" customHeight="1">
      <c r="B85" s="18" t="s">
        <v>14</v>
      </c>
      <c r="C85" s="20"/>
      <c r="D85" s="26" t="s">
        <v>16</v>
      </c>
      <c r="E85" s="21"/>
      <c r="F85" s="22"/>
      <c r="G85" s="27">
        <f t="shared" ref="G85:G89" si="6">F85-E85</f>
        <v>0</v>
      </c>
      <c r="H85" s="20"/>
      <c r="I85" s="20"/>
      <c r="J85" s="33">
        <v>0</v>
      </c>
      <c r="K85" s="20"/>
    </row>
    <row r="86" spans="2:19" s="1" customFormat="1" ht="24.9" customHeight="1">
      <c r="B86" s="18" t="s">
        <v>12</v>
      </c>
      <c r="C86" s="20"/>
      <c r="D86" s="26" t="s">
        <v>16</v>
      </c>
      <c r="E86" s="21"/>
      <c r="F86" s="22"/>
      <c r="G86" s="27">
        <f t="shared" si="6"/>
        <v>0</v>
      </c>
      <c r="H86" s="20"/>
      <c r="I86" s="20"/>
      <c r="J86" s="33">
        <v>0</v>
      </c>
      <c r="K86" s="20"/>
    </row>
    <row r="87" spans="2:19" s="1" customFormat="1" ht="24.9" customHeight="1">
      <c r="B87" s="18" t="s">
        <v>17</v>
      </c>
      <c r="C87" s="28"/>
      <c r="D87" s="26" t="s">
        <v>16</v>
      </c>
      <c r="E87" s="29"/>
      <c r="F87" s="30"/>
      <c r="G87" s="27">
        <f t="shared" si="6"/>
        <v>0</v>
      </c>
      <c r="H87" s="20"/>
      <c r="I87" s="20"/>
      <c r="J87" s="33">
        <v>0</v>
      </c>
      <c r="K87" s="31"/>
    </row>
    <row r="88" spans="2:19" s="1" customFormat="1" ht="24.9" customHeight="1">
      <c r="B88" s="18" t="s">
        <v>14</v>
      </c>
      <c r="C88" s="27"/>
      <c r="D88" s="26" t="s">
        <v>16</v>
      </c>
      <c r="E88" s="29"/>
      <c r="F88" s="30"/>
      <c r="G88" s="27">
        <f t="shared" si="6"/>
        <v>0</v>
      </c>
      <c r="H88" s="20"/>
      <c r="I88" s="20"/>
      <c r="J88" s="33">
        <v>0</v>
      </c>
      <c r="K88" s="31"/>
    </row>
    <row r="89" spans="2:19" s="1" customFormat="1" ht="24.9" customHeight="1">
      <c r="B89" s="18" t="s">
        <v>12</v>
      </c>
      <c r="C89" s="27"/>
      <c r="D89" s="26" t="s">
        <v>16</v>
      </c>
      <c r="E89" s="29"/>
      <c r="F89" s="30"/>
      <c r="G89" s="27">
        <f t="shared" si="6"/>
        <v>0</v>
      </c>
      <c r="H89" s="28"/>
      <c r="I89" s="28"/>
      <c r="J89" s="33">
        <v>0</v>
      </c>
      <c r="K89" s="32"/>
    </row>
  </sheetData>
  <mergeCells count="9">
    <mergeCell ref="B10:L10"/>
    <mergeCell ref="B24:L24"/>
    <mergeCell ref="B82:L82"/>
    <mergeCell ref="B2:G2"/>
    <mergeCell ref="B3:G3"/>
    <mergeCell ref="B4:D4"/>
    <mergeCell ref="E4:G4"/>
    <mergeCell ref="B5:D5"/>
    <mergeCell ref="E5:G5"/>
  </mergeCells>
  <conditionalFormatting sqref="B12:B22">
    <cfRule type="containsText" dxfId="27" priority="39" operator="containsText" text="High">
      <formula>NOT(ISERROR(SEARCH("High",B12)))</formula>
    </cfRule>
    <cfRule type="containsText" dxfId="26" priority="40" operator="containsText" text="Medium">
      <formula>NOT(ISERROR(SEARCH("Medium",B12)))</formula>
    </cfRule>
    <cfRule type="containsText" dxfId="25" priority="41" operator="containsText" text="Low">
      <formula>NOT(ISERROR(SEARCH("Low",B12)))</formula>
    </cfRule>
  </conditionalFormatting>
  <conditionalFormatting sqref="B26:B78">
    <cfRule type="containsText" dxfId="24" priority="8" operator="containsText" text="High">
      <formula>NOT(ISERROR(SEARCH("High",B26)))</formula>
    </cfRule>
    <cfRule type="containsText" dxfId="23" priority="9" operator="containsText" text="Medium">
      <formula>NOT(ISERROR(SEARCH("Medium",B26)))</formula>
    </cfRule>
    <cfRule type="containsText" dxfId="22" priority="10" operator="containsText" text="Low">
      <formula>NOT(ISERROR(SEARCH("Low",B26)))</formula>
    </cfRule>
  </conditionalFormatting>
  <conditionalFormatting sqref="B84:B89">
    <cfRule type="containsText" dxfId="21" priority="1" operator="containsText" text="High">
      <formula>NOT(ISERROR(SEARCH("High",B84)))</formula>
    </cfRule>
    <cfRule type="containsText" dxfId="20" priority="2" operator="containsText" text="Medium">
      <formula>NOT(ISERROR(SEARCH("Medium",B84)))</formula>
    </cfRule>
    <cfRule type="containsText" dxfId="19" priority="3" operator="containsText" text="Low">
      <formula>NOT(ISERROR(SEARCH("Low",B84)))</formula>
    </cfRule>
  </conditionalFormatting>
  <conditionalFormatting sqref="D12:D22">
    <cfRule type="containsText" dxfId="18" priority="63" operator="containsText" text="On Hold">
      <formula>NOT(ISERROR(SEARCH("On Hold",D12)))</formula>
    </cfRule>
    <cfRule type="containsText" dxfId="17" priority="64" operator="containsText" text="In Progress">
      <formula>NOT(ISERROR(SEARCH("In Progress",D12)))</formula>
    </cfRule>
    <cfRule type="containsText" dxfId="16" priority="65" operator="containsText" text="Not Started">
      <formula>NOT(ISERROR(SEARCH("Not Started",D12)))</formula>
    </cfRule>
    <cfRule type="containsText" dxfId="15" priority="66" operator="containsText" text="Complete">
      <formula>NOT(ISERROR(SEARCH("Complete",D12)))</formula>
    </cfRule>
  </conditionalFormatting>
  <conditionalFormatting sqref="D26:D78">
    <cfRule type="containsText" dxfId="14" priority="11" operator="containsText" text="On Hold">
      <formula>NOT(ISERROR(SEARCH("On Hold",D26)))</formula>
    </cfRule>
    <cfRule type="containsText" dxfId="13" priority="12" operator="containsText" text="In Progress">
      <formula>NOT(ISERROR(SEARCH("In Progress",D26)))</formula>
    </cfRule>
    <cfRule type="containsText" dxfId="12" priority="13" operator="containsText" text="Not Started">
      <formula>NOT(ISERROR(SEARCH("Not Started",D26)))</formula>
    </cfRule>
    <cfRule type="containsText" dxfId="11" priority="14" operator="containsText" text="Complete">
      <formula>NOT(ISERROR(SEARCH("Complete",D26)))</formula>
    </cfRule>
  </conditionalFormatting>
  <conditionalFormatting sqref="D84:D89">
    <cfRule type="containsText" dxfId="10" priority="4" operator="containsText" text="On Hold">
      <formula>NOT(ISERROR(SEARCH("On Hold",D84)))</formula>
    </cfRule>
    <cfRule type="containsText" dxfId="9" priority="5" operator="containsText" text="In Progress">
      <formula>NOT(ISERROR(SEARCH("In Progress",D84)))</formula>
    </cfRule>
    <cfRule type="containsText" dxfId="8" priority="6" operator="containsText" text="Not Started">
      <formula>NOT(ISERROR(SEARCH("Not Started",D84)))</formula>
    </cfRule>
    <cfRule type="containsText" dxfId="7" priority="7" operator="containsText" text="Complete">
      <formula>NOT(ISERROR(SEARCH("Complete",D84)))</formula>
    </cfRule>
  </conditionalFormatting>
  <pageMargins left="0.3" right="0.3" top="0.3" bottom="0.3" header="0" footer="0"/>
  <pageSetup paperSize="3" scale="57" orientation="portrait" horizontalDpi="4294967292" verticalDpi="4294967292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6E28F1-3122-4C0A-B08B-ED55A81DF528}">
          <x14:formula1>
            <xm:f>'Dropdown Key - Do Not Delete'!$D$3:$D$6</xm:f>
          </x14:formula1>
          <xm:sqref>D84:D89 D26:D78 D12:D22</xm:sqref>
        </x14:dataValidation>
        <x14:dataValidation type="list" allowBlank="1" showInputMessage="1" showErrorMessage="1" xr:uid="{93BFD597-FDC8-4F9C-BDC0-533C0292789E}">
          <x14:formula1>
            <xm:f>'Dropdown Key - Do Not Delete'!$B$3:$B$5</xm:f>
          </x14:formula1>
          <xm:sqref>B84:B89 B26:B78 B12:B22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3E1E-BEBF-4214-AD01-5221FD7382F4}">
  <sheetPr>
    <tabColor theme="2" tint="-9.9978637043366805E-2"/>
  </sheetPr>
  <dimension ref="B1:D19"/>
  <sheetViews>
    <sheetView showGridLines="0" workbookViewId="0">
      <selection activeCell="E4" sqref="E4"/>
    </sheetView>
  </sheetViews>
  <sheetFormatPr defaultColWidth="8.8984375" defaultRowHeight="15.6"/>
  <cols>
    <col min="1" max="1" width="3.3984375" customWidth="1"/>
    <col min="2" max="2" width="20.59765625" customWidth="1"/>
    <col min="3" max="3" width="3.3984375" customWidth="1"/>
    <col min="4" max="4" width="20.59765625" customWidth="1"/>
  </cols>
  <sheetData>
    <row r="1" spans="2:4" ht="36.75" customHeight="1">
      <c r="B1" s="8" t="s">
        <v>18</v>
      </c>
    </row>
    <row r="2" spans="2:4" s="1" customFormat="1" ht="21.9" customHeight="1">
      <c r="B2" s="9" t="s">
        <v>19</v>
      </c>
      <c r="D2" s="9" t="s">
        <v>20</v>
      </c>
    </row>
    <row r="3" spans="2:4" ht="21.9" customHeight="1">
      <c r="B3" s="25" t="s">
        <v>17</v>
      </c>
      <c r="D3" s="40" t="s">
        <v>13</v>
      </c>
    </row>
    <row r="4" spans="2:4" ht="21.9" customHeight="1">
      <c r="B4" s="7" t="s">
        <v>14</v>
      </c>
      <c r="D4" s="7" t="s">
        <v>16</v>
      </c>
    </row>
    <row r="5" spans="2:4" ht="21.9" customHeight="1">
      <c r="B5" s="7" t="s">
        <v>12</v>
      </c>
      <c r="D5" s="7" t="s">
        <v>15</v>
      </c>
    </row>
    <row r="6" spans="2:4" ht="21.9" customHeight="1">
      <c r="D6" s="7" t="s">
        <v>21</v>
      </c>
    </row>
    <row r="7" spans="2:4" ht="21.9" customHeight="1"/>
    <row r="8" spans="2:4" ht="21.9" customHeight="1"/>
    <row r="9" spans="2:4" ht="21.9" customHeight="1"/>
    <row r="10" spans="2:4" ht="21.9" customHeight="1"/>
    <row r="11" spans="2:4" ht="21.9" customHeight="1"/>
    <row r="12" spans="2:4" ht="21.9" customHeight="1"/>
    <row r="13" spans="2:4" ht="21.9" customHeight="1"/>
    <row r="14" spans="2:4" ht="21.9" customHeight="1"/>
    <row r="15" spans="2:4" ht="21.9" customHeight="1"/>
    <row r="16" spans="2:4" ht="21.9" customHeight="1"/>
    <row r="17" ht="21.9" customHeight="1"/>
    <row r="18" ht="21.9" customHeight="1"/>
    <row r="19" ht="21.9" customHeight="1"/>
  </sheetData>
  <conditionalFormatting sqref="B3:B5">
    <cfRule type="containsText" dxfId="6" priority="5" operator="containsText" text="High">
      <formula>NOT(ISERROR(SEARCH("High",B3)))</formula>
    </cfRule>
    <cfRule type="containsText" dxfId="5" priority="6" operator="containsText" text="Medium">
      <formula>NOT(ISERROR(SEARCH("Medium",B3)))</formula>
    </cfRule>
    <cfRule type="containsText" dxfId="4" priority="7" operator="containsText" text="Low">
      <formula>NOT(ISERROR(SEARCH("Low",B3)))</formula>
    </cfRule>
  </conditionalFormatting>
  <conditionalFormatting sqref="D3:D7">
    <cfRule type="containsText" dxfId="3" priority="1" operator="containsText" text="On Hold">
      <formula>NOT(ISERROR(SEARCH("On Hold",D3)))</formula>
    </cfRule>
    <cfRule type="containsText" dxfId="2" priority="2" operator="containsText" text="In Progress">
      <formula>NOT(ISERROR(SEARCH("In Progress",D3)))</formula>
    </cfRule>
    <cfRule type="containsText" dxfId="1" priority="3" operator="containsText" text="Not Started">
      <formula>NOT(ISERROR(SEARCH("Not Started",D3)))</formula>
    </cfRule>
    <cfRule type="containsText" dxfId="0" priority="4" operator="containsText" text="Complete">
      <formula>NOT(ISERROR(SEARCH("Complete",D3)))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Project X Action Plan</vt:lpstr>
      <vt:lpstr>Dropdown Key - Do Not Delete</vt:lpstr>
      <vt:lpstr>'Project X Action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Beaming Homes</cp:lastModifiedBy>
  <cp:revision/>
  <dcterms:created xsi:type="dcterms:W3CDTF">2015-07-29T22:22:02Z</dcterms:created>
  <dcterms:modified xsi:type="dcterms:W3CDTF">2026-02-16T20:18:09Z</dcterms:modified>
  <cp:category/>
  <cp:contentStatus/>
</cp:coreProperties>
</file>